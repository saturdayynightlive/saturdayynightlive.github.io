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hwan/Documents/GitHub/saturdayynightlive.github.io/"/>
    </mc:Choice>
  </mc:AlternateContent>
  <xr:revisionPtr revIDLastSave="0" documentId="13_ncr:1_{DB60DA00-3C26-534C-A2EA-FC13ED292393}" xr6:coauthVersionLast="47" xr6:coauthVersionMax="47" xr10:uidLastSave="{00000000-0000-0000-0000-000000000000}"/>
  <bookViews>
    <workbookView xWindow="13660" yWindow="780" windowWidth="22340" windowHeight="20920" xr2:uid="{00000000-000D-0000-FFFF-FFFF00000000}"/>
  </bookViews>
  <sheets>
    <sheet name="학부 과목 정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K57" i="1"/>
  <c r="K68" i="1"/>
  <c r="K76" i="1"/>
  <c r="B78" i="1"/>
  <c r="H78" i="1"/>
  <c r="F78" i="1"/>
  <c r="D78" i="1"/>
  <c r="K48" i="1"/>
  <c r="K41" i="1"/>
  <c r="K29" i="1"/>
  <c r="K26" i="1"/>
  <c r="K20" i="1"/>
  <c r="K12" i="1"/>
  <c r="K78" i="1" l="1"/>
  <c r="J78" i="1"/>
</calcChain>
</file>

<file path=xl/sharedStrings.xml><?xml version="1.0" encoding="utf-8"?>
<sst xmlns="http://schemas.openxmlformats.org/spreadsheetml/2006/main" count="118" uniqueCount="72">
  <si>
    <t>컴퓨터공학전공</t>
  </si>
  <si>
    <t>자유전공학부 전공</t>
  </si>
  <si>
    <t>교양/일선</t>
  </si>
  <si>
    <t>학기별  총합</t>
  </si>
  <si>
    <t>과목명</t>
  </si>
  <si>
    <t>학점</t>
  </si>
  <si>
    <t>1학년 1학기</t>
  </si>
  <si>
    <t xml:space="preserve">주제탐구세미나 1 </t>
  </si>
  <si>
    <t>기초수학 1</t>
  </si>
  <si>
    <t>전공설계 1</t>
  </si>
  <si>
    <t>대학 글쓰기 1</t>
  </si>
  <si>
    <t>수학 1</t>
  </si>
  <si>
    <t>수학 연습 1</t>
  </si>
  <si>
    <t>대학영어 2: 글쓰기</t>
  </si>
  <si>
    <t>중국고대철학</t>
  </si>
  <si>
    <t>1학년 2학기</t>
  </si>
  <si>
    <t>이산수학(전필)</t>
  </si>
  <si>
    <t>사회봉사 1</t>
  </si>
  <si>
    <t>컴퓨팅 살펴보기(전필)</t>
  </si>
  <si>
    <t>수학 2</t>
  </si>
  <si>
    <t>프로그래밍연습(전선)</t>
  </si>
  <si>
    <t>수학 연습 2</t>
  </si>
  <si>
    <t>대학 글쓰기 2: 인문학글쓰기</t>
  </si>
  <si>
    <t xml:space="preserve">통계학 </t>
  </si>
  <si>
    <t>통계학실험</t>
  </si>
  <si>
    <t>2학년 1학기</t>
  </si>
  <si>
    <t>컴퓨터프로그래밍(전필)</t>
  </si>
  <si>
    <t>컴퓨팅 핵심: 데이터 중심의 인공지능</t>
  </si>
  <si>
    <t>공학수학 1</t>
  </si>
  <si>
    <t>논리설계(전필)</t>
  </si>
  <si>
    <t>논리학</t>
  </si>
  <si>
    <t>2학년 여름</t>
  </si>
  <si>
    <t>체력단련</t>
  </si>
  <si>
    <t>스페인어권 문화의 이해</t>
  </si>
  <si>
    <t>선형대수학(수리과학부)</t>
  </si>
  <si>
    <t>2학년 2학기</t>
  </si>
  <si>
    <t>자료구조(전필)</t>
  </si>
  <si>
    <t>확률의 개념 및 응용(통계학과)</t>
  </si>
  <si>
    <t>전공설계2</t>
  </si>
  <si>
    <t>공학수학 2</t>
  </si>
  <si>
    <t>컴퓨터구조(전필)</t>
  </si>
  <si>
    <t>아무거나 베리타스</t>
  </si>
  <si>
    <t>2학년 겨울</t>
  </si>
  <si>
    <t>외국어</t>
  </si>
  <si>
    <t>아무거나 교양</t>
  </si>
  <si>
    <t>3학년 1학기</t>
  </si>
  <si>
    <t>알고리즘(전필)</t>
  </si>
  <si>
    <t>수리통계1(통계학과)</t>
  </si>
  <si>
    <t>자전전공</t>
  </si>
  <si>
    <t>시스템프로그래밍(전필)</t>
  </si>
  <si>
    <t>3학년 여름</t>
  </si>
  <si>
    <t>3학년 2학기</t>
  </si>
  <si>
    <t>수리통계2(통계학과)</t>
  </si>
  <si>
    <t>운영체제(전선)</t>
  </si>
  <si>
    <t>심층신경망의 수학적 기초(수리과학부)</t>
  </si>
  <si>
    <t>3학년 겨울</t>
  </si>
  <si>
    <t>4학년 1학기</t>
  </si>
  <si>
    <t>소개원실(전필)</t>
  </si>
  <si>
    <t>회귀분석 및 실습(통계학과)</t>
  </si>
  <si>
    <t>딥러닝의 기초(전선)</t>
  </si>
  <si>
    <t>4학년 2학기</t>
  </si>
  <si>
    <t>베이즈통계 및 실습(통계학과)</t>
  </si>
  <si>
    <t>로봇인공지능만들기(전필)</t>
  </si>
  <si>
    <t>총합</t>
  </si>
  <si>
    <t>총총합</t>
  </si>
  <si>
    <t>졸업 학점</t>
  </si>
  <si>
    <t>통계</t>
  </si>
  <si>
    <t>48 이상</t>
  </si>
  <si>
    <t>전통실</t>
  </si>
  <si>
    <t>자분실</t>
  </si>
  <si>
    <t>1학점 하나</t>
  </si>
  <si>
    <t>강화학습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</si>
</sst>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DC6F"/>
        <bgColor rgb="FFF7D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22" zoomScale="87" workbookViewId="0">
      <selection activeCell="C60" sqref="C60"/>
    </sheetView>
  </sheetViews>
  <sheetFormatPr baseColWidth="10" defaultColWidth="8.83203125" defaultRowHeight="15" x14ac:dyDescent="0.2"/>
  <cols>
    <col min="1" max="1" width="41.33203125" customWidth="1"/>
    <col min="2" max="2" width="8.83203125" customWidth="1"/>
    <col min="3" max="3" width="34.1640625" customWidth="1"/>
    <col min="4" max="4" width="8.83203125" customWidth="1"/>
    <col min="5" max="5" width="31.5" customWidth="1"/>
    <col min="7" max="7" width="31.5" customWidth="1"/>
  </cols>
  <sheetData>
    <row r="1" spans="1:11" x14ac:dyDescent="0.2">
      <c r="A1" t="s">
        <v>0</v>
      </c>
      <c r="C1" t="s">
        <v>66</v>
      </c>
      <c r="E1" t="s">
        <v>1</v>
      </c>
      <c r="G1" t="s">
        <v>2</v>
      </c>
      <c r="K1" t="s">
        <v>3</v>
      </c>
    </row>
    <row r="3" spans="1:11" x14ac:dyDescent="0.2">
      <c r="A3" s="1" t="s">
        <v>4</v>
      </c>
      <c r="B3" s="1" t="s">
        <v>5</v>
      </c>
      <c r="C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1" t="s">
        <v>5</v>
      </c>
    </row>
    <row r="4" spans="1:11" x14ac:dyDescent="0.2">
      <c r="A4" t="s">
        <v>6</v>
      </c>
      <c r="C4" t="s">
        <v>6</v>
      </c>
      <c r="E4" t="s">
        <v>6</v>
      </c>
      <c r="G4" t="s">
        <v>6</v>
      </c>
    </row>
    <row r="5" spans="1:11" x14ac:dyDescent="0.2">
      <c r="E5" t="s">
        <v>7</v>
      </c>
      <c r="F5">
        <v>3</v>
      </c>
      <c r="G5" t="s">
        <v>8</v>
      </c>
      <c r="H5">
        <v>1</v>
      </c>
    </row>
    <row r="6" spans="1:11" x14ac:dyDescent="0.2">
      <c r="E6" t="s">
        <v>9</v>
      </c>
      <c r="F6">
        <v>2</v>
      </c>
      <c r="G6" t="s">
        <v>10</v>
      </c>
      <c r="H6">
        <v>2</v>
      </c>
    </row>
    <row r="7" spans="1:11" x14ac:dyDescent="0.2">
      <c r="G7" t="s">
        <v>11</v>
      </c>
      <c r="H7">
        <v>2</v>
      </c>
    </row>
    <row r="8" spans="1:11" x14ac:dyDescent="0.2">
      <c r="G8" t="s">
        <v>12</v>
      </c>
      <c r="H8">
        <v>1</v>
      </c>
    </row>
    <row r="9" spans="1:11" x14ac:dyDescent="0.2">
      <c r="G9" t="s">
        <v>13</v>
      </c>
      <c r="H9">
        <v>3</v>
      </c>
    </row>
    <row r="10" spans="1:11" x14ac:dyDescent="0.2">
      <c r="G10" t="s">
        <v>14</v>
      </c>
      <c r="H10">
        <v>3</v>
      </c>
    </row>
    <row r="12" spans="1:11" x14ac:dyDescent="0.2">
      <c r="K12">
        <f>SUM(H5:H11)+SUM(D4:D12)+SUM(F4:F12)</f>
        <v>17</v>
      </c>
    </row>
    <row r="14" spans="1:11" x14ac:dyDescent="0.2">
      <c r="A14" s="3" t="s">
        <v>15</v>
      </c>
      <c r="C14" s="3" t="s">
        <v>15</v>
      </c>
      <c r="E14" s="3" t="s">
        <v>15</v>
      </c>
      <c r="G14" s="3" t="s">
        <v>15</v>
      </c>
    </row>
    <row r="15" spans="1:11" x14ac:dyDescent="0.2">
      <c r="A15" t="s">
        <v>16</v>
      </c>
      <c r="B15">
        <v>3</v>
      </c>
      <c r="G15" t="s">
        <v>17</v>
      </c>
      <c r="H15">
        <v>1</v>
      </c>
    </row>
    <row r="16" spans="1:11" x14ac:dyDescent="0.2">
      <c r="A16" t="s">
        <v>18</v>
      </c>
      <c r="B16">
        <v>1</v>
      </c>
      <c r="G16" t="s">
        <v>19</v>
      </c>
      <c r="H16">
        <v>2</v>
      </c>
    </row>
    <row r="17" spans="1:11" x14ac:dyDescent="0.2">
      <c r="A17" t="s">
        <v>20</v>
      </c>
      <c r="B17">
        <v>3</v>
      </c>
      <c r="G17" t="s">
        <v>21</v>
      </c>
      <c r="H17">
        <v>1</v>
      </c>
    </row>
    <row r="18" spans="1:11" x14ac:dyDescent="0.2">
      <c r="G18" t="s">
        <v>22</v>
      </c>
      <c r="H18">
        <v>2</v>
      </c>
    </row>
    <row r="19" spans="1:11" x14ac:dyDescent="0.2">
      <c r="G19" t="s">
        <v>23</v>
      </c>
      <c r="H19">
        <v>3</v>
      </c>
    </row>
    <row r="20" spans="1:11" x14ac:dyDescent="0.2">
      <c r="G20" t="s">
        <v>24</v>
      </c>
      <c r="H20">
        <v>1</v>
      </c>
      <c r="K20">
        <f>SUM(B15:B21)+SUM(H15:H20)</f>
        <v>17</v>
      </c>
    </row>
    <row r="23" spans="1:11" x14ac:dyDescent="0.2">
      <c r="A23" t="s">
        <v>25</v>
      </c>
      <c r="C23" t="s">
        <v>25</v>
      </c>
      <c r="E23" t="s">
        <v>25</v>
      </c>
      <c r="G23" t="s">
        <v>25</v>
      </c>
    </row>
    <row r="24" spans="1:11" x14ac:dyDescent="0.2">
      <c r="A24" t="s">
        <v>26</v>
      </c>
      <c r="B24">
        <v>3</v>
      </c>
      <c r="G24" t="s">
        <v>27</v>
      </c>
      <c r="H24">
        <v>3</v>
      </c>
    </row>
    <row r="25" spans="1:11" x14ac:dyDescent="0.2">
      <c r="G25" t="s">
        <v>28</v>
      </c>
      <c r="H25">
        <v>3</v>
      </c>
    </row>
    <row r="26" spans="1:11" x14ac:dyDescent="0.2">
      <c r="A26" t="s">
        <v>29</v>
      </c>
      <c r="B26">
        <v>3</v>
      </c>
      <c r="G26" t="s">
        <v>30</v>
      </c>
      <c r="H26">
        <v>3</v>
      </c>
      <c r="K26">
        <f>SUM(B24:B26)+SUM(H24:H26)</f>
        <v>15</v>
      </c>
    </row>
    <row r="28" spans="1:11" x14ac:dyDescent="0.2">
      <c r="A28" t="s">
        <v>31</v>
      </c>
      <c r="C28" t="s">
        <v>31</v>
      </c>
      <c r="E28" t="s">
        <v>31</v>
      </c>
      <c r="G28" t="s">
        <v>31</v>
      </c>
    </row>
    <row r="29" spans="1:11" x14ac:dyDescent="0.2">
      <c r="A29" s="5" t="s">
        <v>34</v>
      </c>
      <c r="B29" s="5">
        <v>3</v>
      </c>
      <c r="G29" t="s">
        <v>32</v>
      </c>
      <c r="H29">
        <v>1</v>
      </c>
      <c r="K29">
        <f>SUM(B29)+SUM(H29:H30)</f>
        <v>7</v>
      </c>
    </row>
    <row r="30" spans="1:11" x14ac:dyDescent="0.2">
      <c r="G30" t="s">
        <v>33</v>
      </c>
      <c r="H30">
        <v>3</v>
      </c>
    </row>
    <row r="33" spans="1:11" x14ac:dyDescent="0.2">
      <c r="A33" t="s">
        <v>35</v>
      </c>
      <c r="C33" t="s">
        <v>35</v>
      </c>
      <c r="E33" t="s">
        <v>35</v>
      </c>
      <c r="G33" t="s">
        <v>35</v>
      </c>
    </row>
    <row r="34" spans="1:11" x14ac:dyDescent="0.2">
      <c r="A34" t="s">
        <v>36</v>
      </c>
      <c r="B34">
        <v>3</v>
      </c>
      <c r="C34" t="s">
        <v>37</v>
      </c>
      <c r="D34">
        <v>3</v>
      </c>
      <c r="E34" t="s">
        <v>38</v>
      </c>
      <c r="F34">
        <v>1</v>
      </c>
      <c r="G34" t="s">
        <v>39</v>
      </c>
      <c r="H34">
        <v>3</v>
      </c>
    </row>
    <row r="35" spans="1:11" x14ac:dyDescent="0.2">
      <c r="A35" t="s">
        <v>40</v>
      </c>
      <c r="B35">
        <v>3</v>
      </c>
      <c r="C35" t="s">
        <v>69</v>
      </c>
      <c r="D35">
        <v>3</v>
      </c>
    </row>
    <row r="37" spans="1:11" x14ac:dyDescent="0.2">
      <c r="K37">
        <f>SUM(B34:B36)+SUM(H34:H36)+SUM(D34:D37)+SUM(F34:F37)</f>
        <v>16</v>
      </c>
    </row>
    <row r="40" spans="1:11" x14ac:dyDescent="0.2">
      <c r="A40" t="s">
        <v>42</v>
      </c>
      <c r="C40" t="s">
        <v>42</v>
      </c>
      <c r="E40" t="s">
        <v>42</v>
      </c>
      <c r="G40" t="s">
        <v>42</v>
      </c>
    </row>
    <row r="41" spans="1:11" x14ac:dyDescent="0.2">
      <c r="G41" t="s">
        <v>43</v>
      </c>
      <c r="H41">
        <v>3</v>
      </c>
      <c r="K41">
        <f>SUM(B42:B42)+SUM(H41:H42)+SUM(D41:D41)</f>
        <v>6</v>
      </c>
    </row>
    <row r="42" spans="1:11" x14ac:dyDescent="0.2">
      <c r="G42" t="s">
        <v>44</v>
      </c>
      <c r="H42">
        <v>3</v>
      </c>
    </row>
    <row r="44" spans="1:11" x14ac:dyDescent="0.2">
      <c r="A44" t="s">
        <v>45</v>
      </c>
      <c r="C44" t="s">
        <v>45</v>
      </c>
      <c r="E44" t="s">
        <v>45</v>
      </c>
      <c r="G44" t="s">
        <v>45</v>
      </c>
    </row>
    <row r="45" spans="1:11" x14ac:dyDescent="0.2">
      <c r="A45" t="s">
        <v>46</v>
      </c>
      <c r="B45">
        <v>3</v>
      </c>
      <c r="C45" t="s">
        <v>47</v>
      </c>
      <c r="D45">
        <v>3</v>
      </c>
      <c r="E45" t="s">
        <v>48</v>
      </c>
      <c r="F45">
        <v>3</v>
      </c>
      <c r="G45" t="s">
        <v>41</v>
      </c>
      <c r="H45">
        <v>3</v>
      </c>
    </row>
    <row r="46" spans="1:11" x14ac:dyDescent="0.2">
      <c r="A46" t="s">
        <v>49</v>
      </c>
      <c r="B46">
        <v>3</v>
      </c>
    </row>
    <row r="48" spans="1:11" x14ac:dyDescent="0.2">
      <c r="K48">
        <f>SUM(B45:B48)+SUM(H45:H47)+SUM(D45:D47)+SUM(F45:F48)</f>
        <v>15</v>
      </c>
    </row>
    <row r="50" spans="1:11" x14ac:dyDescent="0.2">
      <c r="A50" t="s">
        <v>50</v>
      </c>
      <c r="C50" t="s">
        <v>50</v>
      </c>
      <c r="G50" t="s">
        <v>50</v>
      </c>
    </row>
    <row r="54" spans="1:11" x14ac:dyDescent="0.2">
      <c r="A54" t="s">
        <v>51</v>
      </c>
      <c r="C54" t="s">
        <v>51</v>
      </c>
      <c r="E54" t="s">
        <v>51</v>
      </c>
      <c r="G54" t="s">
        <v>51</v>
      </c>
    </row>
    <row r="55" spans="1:11" x14ac:dyDescent="0.2">
      <c r="A55" s="5" t="s">
        <v>54</v>
      </c>
      <c r="B55" s="5">
        <v>3</v>
      </c>
      <c r="C55" t="s">
        <v>52</v>
      </c>
      <c r="D55">
        <v>3</v>
      </c>
    </row>
    <row r="56" spans="1:11" x14ac:dyDescent="0.2">
      <c r="A56" t="s">
        <v>53</v>
      </c>
      <c r="B56">
        <v>3</v>
      </c>
    </row>
    <row r="57" spans="1:11" x14ac:dyDescent="0.2">
      <c r="A57" t="s">
        <v>71</v>
      </c>
      <c r="B57">
        <v>3</v>
      </c>
      <c r="K57">
        <f>SUM(B55:B58)+SUM(H54:H58)+SUM(D55:D57)+SUM(F54:F58)</f>
        <v>13</v>
      </c>
    </row>
    <row r="58" spans="1:11" x14ac:dyDescent="0.2">
      <c r="A58" t="s">
        <v>70</v>
      </c>
      <c r="B58">
        <v>1</v>
      </c>
    </row>
    <row r="60" spans="1:11" x14ac:dyDescent="0.2">
      <c r="A60" t="s">
        <v>55</v>
      </c>
      <c r="C60" t="s">
        <v>55</v>
      </c>
      <c r="E60" t="s">
        <v>55</v>
      </c>
      <c r="G60" t="s">
        <v>55</v>
      </c>
    </row>
    <row r="64" spans="1:11" x14ac:dyDescent="0.2">
      <c r="A64" t="s">
        <v>56</v>
      </c>
      <c r="C64" t="s">
        <v>56</v>
      </c>
      <c r="E64" t="s">
        <v>56</v>
      </c>
      <c r="G64" t="s">
        <v>56</v>
      </c>
    </row>
    <row r="65" spans="1:11" x14ac:dyDescent="0.2">
      <c r="A65" t="s">
        <v>57</v>
      </c>
      <c r="B65">
        <v>4</v>
      </c>
      <c r="C65" t="s">
        <v>58</v>
      </c>
      <c r="D65">
        <v>3</v>
      </c>
      <c r="E65" t="s">
        <v>48</v>
      </c>
      <c r="F65">
        <v>3</v>
      </c>
    </row>
    <row r="66" spans="1:11" x14ac:dyDescent="0.2">
      <c r="A66" t="s">
        <v>59</v>
      </c>
      <c r="B66">
        <v>3</v>
      </c>
    </row>
    <row r="68" spans="1:11" x14ac:dyDescent="0.2">
      <c r="K68">
        <f>SUM(B65:B68)+SUM(H65:H68)+SUM(D65:D68)+SUM(F65:F68)</f>
        <v>13</v>
      </c>
    </row>
    <row r="73" spans="1:11" x14ac:dyDescent="0.2">
      <c r="A73" t="s">
        <v>60</v>
      </c>
      <c r="C73" t="s">
        <v>60</v>
      </c>
      <c r="E73" t="s">
        <v>60</v>
      </c>
      <c r="G73" t="s">
        <v>60</v>
      </c>
    </row>
    <row r="74" spans="1:11" x14ac:dyDescent="0.2">
      <c r="C74" t="s">
        <v>61</v>
      </c>
      <c r="D74">
        <v>3</v>
      </c>
      <c r="E74" t="s">
        <v>48</v>
      </c>
      <c r="F74">
        <v>3</v>
      </c>
    </row>
    <row r="75" spans="1:11" x14ac:dyDescent="0.2">
      <c r="A75" t="s">
        <v>62</v>
      </c>
      <c r="B75">
        <v>3</v>
      </c>
      <c r="C75" t="s">
        <v>68</v>
      </c>
      <c r="D75">
        <v>3</v>
      </c>
    </row>
    <row r="76" spans="1:11" x14ac:dyDescent="0.2">
      <c r="K76">
        <f>SUM(B73:B76)+SUM(H73:H75)+SUM(D73:D76)+SUM(F73:F76)</f>
        <v>12</v>
      </c>
    </row>
    <row r="78" spans="1:11" x14ac:dyDescent="0.2">
      <c r="A78" t="s">
        <v>63</v>
      </c>
      <c r="B78" s="2">
        <f>SUM(B6:B77)</f>
        <v>48</v>
      </c>
      <c r="C78" t="s">
        <v>63</v>
      </c>
      <c r="D78" s="2">
        <f>SUM(D4:D77)</f>
        <v>21</v>
      </c>
      <c r="E78" t="s">
        <v>63</v>
      </c>
      <c r="F78" s="2">
        <f>SUM(F4:F77)</f>
        <v>15</v>
      </c>
      <c r="G78" t="s">
        <v>63</v>
      </c>
      <c r="H78" s="2">
        <f>SUM(H4:H77)</f>
        <v>47</v>
      </c>
      <c r="I78" t="s">
        <v>64</v>
      </c>
      <c r="J78" s="2">
        <f>SUM(B78+H78+D78+F78)</f>
        <v>131</v>
      </c>
      <c r="K78">
        <f>SUM(K5:K77)</f>
        <v>131</v>
      </c>
    </row>
    <row r="79" spans="1:11" x14ac:dyDescent="0.2">
      <c r="A79" s="4" t="s">
        <v>67</v>
      </c>
      <c r="I79" t="s">
        <v>65</v>
      </c>
      <c r="J79">
        <v>130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학부 과목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지환</cp:lastModifiedBy>
  <dcterms:created xsi:type="dcterms:W3CDTF">2026-03-17T06:59:30Z</dcterms:created>
  <dcterms:modified xsi:type="dcterms:W3CDTF">2026-05-21T17:07:06Z</dcterms:modified>
</cp:coreProperties>
</file>